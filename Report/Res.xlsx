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Amir\Uni\Course\Master\RT2\Assignments\03\Amirmat\Research_Track1_Assignment1\Report\"/>
    </mc:Choice>
  </mc:AlternateContent>
  <xr:revisionPtr revIDLastSave="0" documentId="13_ncr:1_{EF046CDE-4F6D-4DB7-AB75-55B76BC952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" l="1"/>
  <c r="D51" i="1"/>
  <c r="E51" i="1"/>
  <c r="C50" i="1"/>
  <c r="D50" i="1"/>
  <c r="E50" i="1"/>
  <c r="E49" i="1"/>
  <c r="D49" i="1"/>
  <c r="C49" i="1"/>
  <c r="E48" i="1"/>
  <c r="D48" i="1"/>
  <c r="C48" i="1"/>
  <c r="E47" i="1"/>
  <c r="D47" i="1"/>
  <c r="C4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</calcChain>
</file>

<file path=xl/sharedStrings.xml><?xml version="1.0" encoding="utf-8"?>
<sst xmlns="http://schemas.openxmlformats.org/spreadsheetml/2006/main" count="10" uniqueCount="10">
  <si>
    <t>Test Number</t>
  </si>
  <si>
    <t>Number of Tokens</t>
  </si>
  <si>
    <t>Amir's Time</t>
  </si>
  <si>
    <t>Colleague's Time</t>
  </si>
  <si>
    <t>Difference</t>
  </si>
  <si>
    <t>Mean</t>
  </si>
  <si>
    <t>Standard Deviation</t>
  </si>
  <si>
    <t>SE</t>
  </si>
  <si>
    <t>t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</si>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</sst>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"/>
    <numFmt numFmtId="165" formatCode="0.00000"/>
    <numFmt numFmtId="179" formatCode="0.000E+00"/>
  </numFmts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179" fontId="1" fillId="2" borderId="1" xfId="1" applyNumberForma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1"/>
  <sheetViews>
    <sheetView tabSelected="1" topLeftCell="A28" zoomScale="110" zoomScaleNormal="110" workbookViewId="0">
      <selection activeCell="M31" sqref="M31"/>
    </sheetView>
  </sheetViews>
  <sheetFormatPr defaultRowHeight="15" x14ac:dyDescent="0.25"/>
  <cols>
    <col min="1" max="1" width="18.140625" style="1" bestFit="1" customWidth="1"/>
    <col min="2" max="2" width="17.5703125" style="1" bestFit="1" customWidth="1"/>
    <col min="3" max="3" width="11.42578125" style="1" bestFit="1" customWidth="1"/>
    <col min="4" max="4" width="16.140625" style="1" bestFit="1" customWidth="1"/>
    <col min="5" max="5" width="15.140625" style="1" customWidth="1"/>
    <col min="6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1</v>
      </c>
      <c r="B2" s="2">
        <v>4</v>
      </c>
      <c r="C2" s="2">
        <v>38.393619999999999</v>
      </c>
      <c r="D2" s="2">
        <v>48.369840000000003</v>
      </c>
      <c r="E2" s="2">
        <f xml:space="preserve"> D2 - C2</f>
        <v>9.976220000000005</v>
      </c>
    </row>
    <row r="3" spans="1:5" x14ac:dyDescent="0.25">
      <c r="A3" s="2">
        <f xml:space="preserve"> A2+1</f>
        <v>2</v>
      </c>
      <c r="B3" s="2">
        <v>4</v>
      </c>
      <c r="C3" s="2">
        <v>39.113669999999999</v>
      </c>
      <c r="D3" s="2">
        <v>49.659750000000003</v>
      </c>
      <c r="E3" s="2">
        <f t="shared" ref="E3:E46" si="0" xml:space="preserve"> D3 - C3</f>
        <v>10.546080000000003</v>
      </c>
    </row>
    <row r="4" spans="1:5" x14ac:dyDescent="0.25">
      <c r="A4" s="2">
        <f t="shared" ref="A4:A46" si="1" xml:space="preserve"> A3+1</f>
        <v>3</v>
      </c>
      <c r="B4" s="2">
        <v>4</v>
      </c>
      <c r="C4" s="2">
        <v>38.53369</v>
      </c>
      <c r="D4" s="2">
        <v>49.326979999999999</v>
      </c>
      <c r="E4" s="2">
        <f t="shared" si="0"/>
        <v>10.793289999999999</v>
      </c>
    </row>
    <row r="5" spans="1:5" x14ac:dyDescent="0.25">
      <c r="A5" s="2">
        <f t="shared" si="1"/>
        <v>4</v>
      </c>
      <c r="B5" s="2">
        <v>4</v>
      </c>
      <c r="C5" s="2">
        <v>37.206249999999997</v>
      </c>
      <c r="D5" s="2">
        <v>50.145690000000002</v>
      </c>
      <c r="E5" s="2">
        <f t="shared" si="0"/>
        <v>12.939440000000005</v>
      </c>
    </row>
    <row r="6" spans="1:5" x14ac:dyDescent="0.25">
      <c r="A6" s="2">
        <f t="shared" si="1"/>
        <v>5</v>
      </c>
      <c r="B6" s="2">
        <v>4</v>
      </c>
      <c r="C6" s="2">
        <v>38.914580000000001</v>
      </c>
      <c r="D6" s="2">
        <v>49.786529999999999</v>
      </c>
      <c r="E6" s="2">
        <f t="shared" si="0"/>
        <v>10.871949999999998</v>
      </c>
    </row>
    <row r="7" spans="1:5" x14ac:dyDescent="0.25">
      <c r="A7" s="2">
        <f t="shared" si="1"/>
        <v>6</v>
      </c>
      <c r="B7" s="2">
        <v>4</v>
      </c>
      <c r="C7" s="2">
        <v>38.014589999999998</v>
      </c>
      <c r="D7" s="2">
        <v>50.964869999999998</v>
      </c>
      <c r="E7" s="2">
        <f t="shared" si="0"/>
        <v>12.950279999999999</v>
      </c>
    </row>
    <row r="8" spans="1:5" x14ac:dyDescent="0.25">
      <c r="A8" s="2">
        <f t="shared" si="1"/>
        <v>7</v>
      </c>
      <c r="B8" s="2">
        <v>4</v>
      </c>
      <c r="C8" s="2">
        <v>39.254779999999997</v>
      </c>
      <c r="D8" s="2">
        <v>52.469749999999998</v>
      </c>
      <c r="E8" s="2">
        <f t="shared" si="0"/>
        <v>13.214970000000001</v>
      </c>
    </row>
    <row r="9" spans="1:5" x14ac:dyDescent="0.25">
      <c r="A9" s="2">
        <f t="shared" si="1"/>
        <v>8</v>
      </c>
      <c r="B9" s="2">
        <v>4</v>
      </c>
      <c r="C9" s="2">
        <v>38.658790000000003</v>
      </c>
      <c r="D9" s="2">
        <v>51.456980000000001</v>
      </c>
      <c r="E9" s="2">
        <f t="shared" si="0"/>
        <v>12.798189999999998</v>
      </c>
    </row>
    <row r="10" spans="1:5" x14ac:dyDescent="0.25">
      <c r="A10" s="2">
        <f t="shared" si="1"/>
        <v>9</v>
      </c>
      <c r="B10" s="2">
        <v>4</v>
      </c>
      <c r="C10" s="2">
        <v>40.749859999999998</v>
      </c>
      <c r="D10" s="2">
        <v>51.24689</v>
      </c>
      <c r="E10" s="2">
        <f t="shared" si="0"/>
        <v>10.497030000000002</v>
      </c>
    </row>
    <row r="11" spans="1:5" x14ac:dyDescent="0.25">
      <c r="A11" s="2">
        <f t="shared" si="1"/>
        <v>10</v>
      </c>
      <c r="B11" s="2">
        <v>4</v>
      </c>
      <c r="C11" s="2">
        <v>39.789630000000002</v>
      </c>
      <c r="D11" s="2">
        <v>50.79354</v>
      </c>
      <c r="E11" s="2">
        <f t="shared" si="0"/>
        <v>11.003909999999998</v>
      </c>
    </row>
    <row r="12" spans="1:5" x14ac:dyDescent="0.25">
      <c r="A12" s="2">
        <f t="shared" si="1"/>
        <v>11</v>
      </c>
      <c r="B12" s="2">
        <v>4</v>
      </c>
      <c r="C12" s="2">
        <v>40.35689</v>
      </c>
      <c r="D12" s="2">
        <v>53.236980000000003</v>
      </c>
      <c r="E12" s="2">
        <f t="shared" si="0"/>
        <v>12.880090000000003</v>
      </c>
    </row>
    <row r="13" spans="1:5" x14ac:dyDescent="0.25">
      <c r="A13" s="2">
        <f t="shared" si="1"/>
        <v>12</v>
      </c>
      <c r="B13" s="2">
        <v>4</v>
      </c>
      <c r="C13" s="2">
        <v>38.968470000000003</v>
      </c>
      <c r="D13" s="2">
        <v>52.34975</v>
      </c>
      <c r="E13" s="2">
        <f t="shared" si="0"/>
        <v>13.381279999999997</v>
      </c>
    </row>
    <row r="14" spans="1:5" x14ac:dyDescent="0.25">
      <c r="A14" s="2">
        <f t="shared" si="1"/>
        <v>13</v>
      </c>
      <c r="B14" s="2">
        <v>4</v>
      </c>
      <c r="C14" s="2">
        <v>38.014650000000003</v>
      </c>
      <c r="D14" s="2">
        <v>52.654389999999999</v>
      </c>
      <c r="E14" s="2">
        <f t="shared" si="0"/>
        <v>14.639739999999996</v>
      </c>
    </row>
    <row r="15" spans="1:5" x14ac:dyDescent="0.25">
      <c r="A15" s="2">
        <f t="shared" si="1"/>
        <v>14</v>
      </c>
      <c r="B15" s="2">
        <v>4</v>
      </c>
      <c r="C15" s="2">
        <v>39.115690000000001</v>
      </c>
      <c r="D15" s="2">
        <v>53.011539999999997</v>
      </c>
      <c r="E15" s="2">
        <f t="shared" si="0"/>
        <v>13.895849999999996</v>
      </c>
    </row>
    <row r="16" spans="1:5" x14ac:dyDescent="0.25">
      <c r="A16" s="2">
        <f t="shared" si="1"/>
        <v>15</v>
      </c>
      <c r="B16" s="2">
        <v>4</v>
      </c>
      <c r="C16" s="2">
        <v>39.789639999999999</v>
      </c>
      <c r="D16" s="2">
        <v>53.24615</v>
      </c>
      <c r="E16" s="2">
        <f t="shared" si="0"/>
        <v>13.456510000000002</v>
      </c>
    </row>
    <row r="17" spans="1:5" x14ac:dyDescent="0.25">
      <c r="A17" s="2">
        <f t="shared" si="1"/>
        <v>16</v>
      </c>
      <c r="B17" s="2">
        <v>6</v>
      </c>
      <c r="C17" s="3">
        <v>54.959874868392902</v>
      </c>
      <c r="D17" s="4">
        <v>84.652799999999999</v>
      </c>
      <c r="E17" s="2">
        <f t="shared" si="0"/>
        <v>29.692925131607097</v>
      </c>
    </row>
    <row r="18" spans="1:5" x14ac:dyDescent="0.25">
      <c r="A18" s="2">
        <f t="shared" si="1"/>
        <v>17</v>
      </c>
      <c r="B18" s="2">
        <v>6</v>
      </c>
      <c r="C18" s="3">
        <v>55.274461746215799</v>
      </c>
      <c r="D18" s="2">
        <v>85.44914</v>
      </c>
      <c r="E18" s="2">
        <f t="shared" si="0"/>
        <v>30.174678253784201</v>
      </c>
    </row>
    <row r="19" spans="1:5" x14ac:dyDescent="0.25">
      <c r="A19" s="2">
        <f t="shared" si="1"/>
        <v>18</v>
      </c>
      <c r="B19" s="2">
        <v>6</v>
      </c>
      <c r="C19" s="3">
        <v>52.361139774322503</v>
      </c>
      <c r="D19" s="2">
        <v>84.469549999999998</v>
      </c>
      <c r="E19" s="2">
        <f t="shared" si="0"/>
        <v>32.108410225677495</v>
      </c>
    </row>
    <row r="20" spans="1:5" x14ac:dyDescent="0.25">
      <c r="A20" s="2">
        <f t="shared" si="1"/>
        <v>19</v>
      </c>
      <c r="B20" s="2">
        <v>6</v>
      </c>
      <c r="C20" s="3">
        <v>54.494693517684901</v>
      </c>
      <c r="D20" s="2">
        <v>85.056229999999999</v>
      </c>
      <c r="E20" s="2">
        <f t="shared" si="0"/>
        <v>30.561536482315098</v>
      </c>
    </row>
    <row r="21" spans="1:5" x14ac:dyDescent="0.25">
      <c r="A21" s="2">
        <f t="shared" si="1"/>
        <v>20</v>
      </c>
      <c r="B21" s="2">
        <v>6</v>
      </c>
      <c r="C21" s="3">
        <v>53.376106500625603</v>
      </c>
      <c r="D21" s="2">
        <v>85.262860000000003</v>
      </c>
      <c r="E21" s="2">
        <f t="shared" si="0"/>
        <v>31.8867534993744</v>
      </c>
    </row>
    <row r="22" spans="1:5" x14ac:dyDescent="0.25">
      <c r="A22" s="2">
        <f t="shared" si="1"/>
        <v>21</v>
      </c>
      <c r="B22" s="2">
        <v>6</v>
      </c>
      <c r="C22" s="3">
        <v>54.613642930984497</v>
      </c>
      <c r="D22" s="2">
        <v>85.144090000000006</v>
      </c>
      <c r="E22" s="2">
        <f t="shared" si="0"/>
        <v>30.530447069015509</v>
      </c>
    </row>
    <row r="23" spans="1:5" x14ac:dyDescent="0.25">
      <c r="A23" s="2">
        <f t="shared" si="1"/>
        <v>22</v>
      </c>
      <c r="B23" s="2">
        <v>6</v>
      </c>
      <c r="C23" s="3">
        <v>58.057340383529599</v>
      </c>
      <c r="D23" s="2">
        <v>84.786169999999998</v>
      </c>
      <c r="E23" s="2">
        <f t="shared" si="0"/>
        <v>26.728829616470399</v>
      </c>
    </row>
    <row r="24" spans="1:5" x14ac:dyDescent="0.25">
      <c r="A24" s="2">
        <f t="shared" si="1"/>
        <v>23</v>
      </c>
      <c r="B24" s="2">
        <v>6</v>
      </c>
      <c r="C24" s="3">
        <v>59.334924936294499</v>
      </c>
      <c r="D24" s="2">
        <v>84.369529999999997</v>
      </c>
      <c r="E24" s="2">
        <f t="shared" si="0"/>
        <v>25.034605063705499</v>
      </c>
    </row>
    <row r="25" spans="1:5" x14ac:dyDescent="0.25">
      <c r="A25" s="2">
        <f t="shared" si="1"/>
        <v>24</v>
      </c>
      <c r="B25" s="2">
        <v>6</v>
      </c>
      <c r="C25" s="3">
        <v>55.130685567855799</v>
      </c>
      <c r="D25" s="2">
        <v>85.046859999999995</v>
      </c>
      <c r="E25" s="2">
        <f t="shared" si="0"/>
        <v>29.916174432144196</v>
      </c>
    </row>
    <row r="26" spans="1:5" x14ac:dyDescent="0.25">
      <c r="A26" s="2">
        <f t="shared" si="1"/>
        <v>25</v>
      </c>
      <c r="B26" s="2">
        <v>6</v>
      </c>
      <c r="C26" s="3">
        <v>59.192314386367798</v>
      </c>
      <c r="D26" s="2">
        <v>84.77364</v>
      </c>
      <c r="E26" s="2">
        <f t="shared" si="0"/>
        <v>25.581325613632202</v>
      </c>
    </row>
    <row r="27" spans="1:5" x14ac:dyDescent="0.25">
      <c r="A27" s="2">
        <f t="shared" si="1"/>
        <v>26</v>
      </c>
      <c r="B27" s="2">
        <v>6</v>
      </c>
      <c r="C27" s="3">
        <v>55.940476894378598</v>
      </c>
      <c r="D27" s="2">
        <v>84.877070000000003</v>
      </c>
      <c r="E27" s="2">
        <f t="shared" si="0"/>
        <v>28.936593105621405</v>
      </c>
    </row>
    <row r="28" spans="1:5" x14ac:dyDescent="0.25">
      <c r="A28" s="2">
        <f t="shared" si="1"/>
        <v>27</v>
      </c>
      <c r="B28" s="2">
        <v>6</v>
      </c>
      <c r="C28" s="3">
        <v>55.067856788635197</v>
      </c>
      <c r="D28" s="2">
        <v>84.82687</v>
      </c>
      <c r="E28" s="2">
        <f t="shared" si="0"/>
        <v>29.759013211364802</v>
      </c>
    </row>
    <row r="29" spans="1:5" x14ac:dyDescent="0.25">
      <c r="A29" s="2">
        <f t="shared" si="1"/>
        <v>28</v>
      </c>
      <c r="B29" s="2">
        <v>6</v>
      </c>
      <c r="C29" s="3">
        <v>54.453131914138702</v>
      </c>
      <c r="D29" s="2">
        <v>84.478229999999996</v>
      </c>
      <c r="E29" s="2">
        <f t="shared" si="0"/>
        <v>30.025098085861295</v>
      </c>
    </row>
    <row r="30" spans="1:5" x14ac:dyDescent="0.25">
      <c r="A30" s="2">
        <f t="shared" si="1"/>
        <v>29</v>
      </c>
      <c r="B30" s="2">
        <v>6</v>
      </c>
      <c r="C30" s="3">
        <v>55.049853324890101</v>
      </c>
      <c r="D30" s="2">
        <v>84.074349999999995</v>
      </c>
      <c r="E30" s="2">
        <f t="shared" si="0"/>
        <v>29.024496675109894</v>
      </c>
    </row>
    <row r="31" spans="1:5" x14ac:dyDescent="0.25">
      <c r="A31" s="2">
        <f t="shared" si="1"/>
        <v>30</v>
      </c>
      <c r="B31" s="2">
        <v>6</v>
      </c>
      <c r="C31" s="3">
        <v>54.397413253784102</v>
      </c>
      <c r="D31" s="4">
        <v>84.998500000000007</v>
      </c>
      <c r="E31" s="2">
        <f t="shared" si="0"/>
        <v>30.601086746215906</v>
      </c>
    </row>
    <row r="32" spans="1:5" x14ac:dyDescent="0.25">
      <c r="A32" s="2">
        <f t="shared" si="1"/>
        <v>31</v>
      </c>
      <c r="B32" s="2">
        <v>8</v>
      </c>
      <c r="C32" s="3">
        <v>78.262053728103595</v>
      </c>
      <c r="D32" s="2">
        <v>116.657028</v>
      </c>
      <c r="E32" s="2">
        <f t="shared" si="0"/>
        <v>38.394974271896402</v>
      </c>
    </row>
    <row r="33" spans="1:5" x14ac:dyDescent="0.25">
      <c r="A33" s="2">
        <f t="shared" si="1"/>
        <v>32</v>
      </c>
      <c r="B33" s="2">
        <v>8</v>
      </c>
      <c r="C33" s="3">
        <v>75.808310508727999</v>
      </c>
      <c r="D33" s="2">
        <v>116.31923999999999</v>
      </c>
      <c r="E33" s="2">
        <f t="shared" si="0"/>
        <v>40.510929491271995</v>
      </c>
    </row>
    <row r="34" spans="1:5" x14ac:dyDescent="0.25">
      <c r="A34" s="2">
        <f t="shared" si="1"/>
        <v>33</v>
      </c>
      <c r="B34" s="2">
        <v>8</v>
      </c>
      <c r="C34" s="3">
        <v>75.558684110641394</v>
      </c>
      <c r="D34" s="2">
        <v>116.99526</v>
      </c>
      <c r="E34" s="2">
        <f t="shared" si="0"/>
        <v>41.436575889358608</v>
      </c>
    </row>
    <row r="35" spans="1:5" x14ac:dyDescent="0.25">
      <c r="A35" s="2">
        <f t="shared" si="1"/>
        <v>34</v>
      </c>
      <c r="B35" s="2">
        <v>8</v>
      </c>
      <c r="C35" s="3">
        <v>78.6530117988586</v>
      </c>
      <c r="D35" s="2">
        <v>116.06432</v>
      </c>
      <c r="E35" s="2">
        <f t="shared" si="0"/>
        <v>37.411308201141395</v>
      </c>
    </row>
    <row r="36" spans="1:5" x14ac:dyDescent="0.25">
      <c r="A36" s="2">
        <f t="shared" si="1"/>
        <v>35</v>
      </c>
      <c r="B36" s="2">
        <v>8</v>
      </c>
      <c r="C36" s="3">
        <v>72.045760154724107</v>
      </c>
      <c r="D36" s="2">
        <v>118.91829</v>
      </c>
      <c r="E36" s="2">
        <f t="shared" si="0"/>
        <v>46.872529845275892</v>
      </c>
    </row>
    <row r="37" spans="1:5" x14ac:dyDescent="0.25">
      <c r="A37" s="2">
        <f t="shared" si="1"/>
        <v>36</v>
      </c>
      <c r="B37" s="2">
        <v>8</v>
      </c>
      <c r="C37" s="3">
        <v>77.804898262023897</v>
      </c>
      <c r="D37" s="2">
        <v>115.75485</v>
      </c>
      <c r="E37" s="2">
        <f t="shared" si="0"/>
        <v>37.949951737976107</v>
      </c>
    </row>
    <row r="38" spans="1:5" x14ac:dyDescent="0.25">
      <c r="A38" s="2">
        <f t="shared" si="1"/>
        <v>37</v>
      </c>
      <c r="B38" s="2">
        <v>8</v>
      </c>
      <c r="C38" s="3">
        <v>76.690699815750094</v>
      </c>
      <c r="D38" s="2">
        <v>116.05548</v>
      </c>
      <c r="E38" s="2">
        <f t="shared" si="0"/>
        <v>39.364780184249909</v>
      </c>
    </row>
    <row r="39" spans="1:5" x14ac:dyDescent="0.25">
      <c r="A39" s="2">
        <f t="shared" si="1"/>
        <v>38</v>
      </c>
      <c r="B39" s="2">
        <v>8</v>
      </c>
      <c r="C39" s="3">
        <v>74.823342323303194</v>
      </c>
      <c r="D39" s="2">
        <v>114.75794999999999</v>
      </c>
      <c r="E39" s="2">
        <f t="shared" si="0"/>
        <v>39.9346076766968</v>
      </c>
    </row>
    <row r="40" spans="1:5" x14ac:dyDescent="0.25">
      <c r="A40" s="2">
        <f t="shared" si="1"/>
        <v>39</v>
      </c>
      <c r="B40" s="2">
        <v>8</v>
      </c>
      <c r="C40" s="3">
        <v>74.272506237030001</v>
      </c>
      <c r="D40" s="2">
        <v>113.37381000000001</v>
      </c>
      <c r="E40" s="2">
        <f t="shared" si="0"/>
        <v>39.101303762970005</v>
      </c>
    </row>
    <row r="41" spans="1:5" x14ac:dyDescent="0.25">
      <c r="A41" s="2">
        <f t="shared" si="1"/>
        <v>40</v>
      </c>
      <c r="B41" s="2">
        <v>8</v>
      </c>
      <c r="C41" s="3">
        <v>70.117750883102403</v>
      </c>
      <c r="D41" s="2">
        <v>116.49312</v>
      </c>
      <c r="E41" s="2">
        <f t="shared" si="0"/>
        <v>46.375369116897602</v>
      </c>
    </row>
    <row r="42" spans="1:5" x14ac:dyDescent="0.25">
      <c r="A42" s="2">
        <f t="shared" si="1"/>
        <v>41</v>
      </c>
      <c r="B42" s="2">
        <v>8</v>
      </c>
      <c r="C42" s="3">
        <v>74.899099588394094</v>
      </c>
      <c r="D42" s="2">
        <v>116.00306</v>
      </c>
      <c r="E42" s="2">
        <f t="shared" si="0"/>
        <v>41.103960411605911</v>
      </c>
    </row>
    <row r="43" spans="1:5" x14ac:dyDescent="0.25">
      <c r="A43" s="2">
        <f t="shared" si="1"/>
        <v>42</v>
      </c>
      <c r="B43" s="2">
        <v>8</v>
      </c>
      <c r="C43" s="3">
        <v>76.601675033569293</v>
      </c>
      <c r="D43" s="2">
        <v>119.4113</v>
      </c>
      <c r="E43" s="2">
        <f t="shared" si="0"/>
        <v>42.809624966430704</v>
      </c>
    </row>
    <row r="44" spans="1:5" x14ac:dyDescent="0.25">
      <c r="A44" s="2">
        <f t="shared" si="1"/>
        <v>43</v>
      </c>
      <c r="B44" s="2">
        <v>8</v>
      </c>
      <c r="C44" s="3">
        <v>79.258589982986393</v>
      </c>
      <c r="D44" s="2">
        <v>116.68213</v>
      </c>
      <c r="E44" s="2">
        <f t="shared" si="0"/>
        <v>37.423540017013607</v>
      </c>
    </row>
    <row r="45" spans="1:5" x14ac:dyDescent="0.25">
      <c r="A45" s="2">
        <f t="shared" si="1"/>
        <v>44</v>
      </c>
      <c r="B45" s="2">
        <v>8</v>
      </c>
      <c r="C45" s="3">
        <v>79.327092885970998</v>
      </c>
      <c r="D45" s="2">
        <v>120.26223</v>
      </c>
      <c r="E45" s="2">
        <f t="shared" si="0"/>
        <v>40.935137114029004</v>
      </c>
    </row>
    <row r="46" spans="1:5" x14ac:dyDescent="0.25">
      <c r="A46" s="2">
        <f t="shared" si="1"/>
        <v>45</v>
      </c>
      <c r="B46" s="2">
        <v>8</v>
      </c>
      <c r="C46" s="3">
        <v>78.2503178119659</v>
      </c>
      <c r="D46" s="2">
        <v>116.50902000000001</v>
      </c>
      <c r="E46" s="2">
        <f t="shared" si="0"/>
        <v>38.258702188034107</v>
      </c>
    </row>
    <row r="47" spans="1:5" x14ac:dyDescent="0.25">
      <c r="A47" s="5" t="s">
        <v>5</v>
      </c>
      <c r="B47" s="5"/>
      <c r="C47" s="5">
        <f>AVERAGE(C2:C46)</f>
        <v>56.865611331405631</v>
      </c>
      <c r="D47" s="5">
        <f>AVERAGE(D2:D46)</f>
        <v>84.249835733333342</v>
      </c>
      <c r="E47" s="5">
        <f>AVERAGE(E2:E46)</f>
        <v>27.384224401927714</v>
      </c>
    </row>
    <row r="48" spans="1:5" x14ac:dyDescent="0.25">
      <c r="A48" s="5" t="s">
        <v>6</v>
      </c>
      <c r="B48" s="5"/>
      <c r="C48" s="5">
        <f>_xlfn.STDEV.S(C2:C46)</f>
        <v>15.49971717006976</v>
      </c>
      <c r="D48" s="5">
        <f>_xlfn.STDEV.S(D2:D46)</f>
        <v>27.051806636487068</v>
      </c>
      <c r="E48" s="5">
        <f>_xlfn.STDEV.S(E2:E46)</f>
        <v>11.959662616068906</v>
      </c>
    </row>
    <row r="49" spans="1:5" x14ac:dyDescent="0.25">
      <c r="A49" s="5" t="s">
        <v>7</v>
      </c>
      <c r="B49" s="5"/>
      <c r="C49" s="5">
        <f>_xlfn.STDEV.S(C2:C46)/SQRT(COUNT(C2:C46))</f>
        <v>2.31056141495311</v>
      </c>
      <c r="D49" s="5">
        <f>_xlfn.STDEV.S(D2:D46)/SQRT(COUNT(D2:D46))</f>
        <v>4.0326452368910015</v>
      </c>
      <c r="E49" s="5">
        <f>E48/SQRT(COUNT(E2:E46))</f>
        <v>1.7828412398328695</v>
      </c>
    </row>
    <row r="50" spans="1:5" x14ac:dyDescent="0.25">
      <c r="A50" s="5" t="s">
        <v>8</v>
      </c>
      <c r="B50" s="5"/>
      <c r="C50" s="5">
        <f>C47/C49</f>
        <v>24.611166343985559</v>
      </c>
      <c r="D50" s="5">
        <f>D47/D49</f>
        <v>20.891953242652804</v>
      </c>
      <c r="E50" s="5">
        <f>E47/E49</f>
        <v>15.359878260666003</v>
      </c>
    </row>
    <row r="51" spans="1:5" x14ac:dyDescent="0.25">
      <c r="A51" s="5" t="s">
        <v>9</v>
      </c>
      <c r="B51" s="5"/>
      <c r="C51" s="5">
        <f>2*_xlfn.T.DIST.2T(ABS(C50), COUNT(C2:C46)-1)</f>
        <v>4.6715012553319779E-27</v>
      </c>
      <c r="D51" s="5">
        <f>2*_xlfn.T.DIST.2T(ABS(D50), COUNT(D2:D46)-1)</f>
        <v>3.6133689414669986E-24</v>
      </c>
      <c r="E51" s="6">
        <f>2*_xlfn.T.DIST.2T(ABS(E50), COUNT(E2:E46)-1)</f>
        <v>5.4347350488387664E-19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AmirMahdi</cp:lastModifiedBy>
  <cp:lastPrinted>2024-06-04T11:19:15Z</cp:lastPrinted>
  <dcterms:created xsi:type="dcterms:W3CDTF">2015-06-05T18:17:20Z</dcterms:created>
  <dcterms:modified xsi:type="dcterms:W3CDTF">2024-06-04T11:20:34Z</dcterms:modified>
</cp:coreProperties>
</file>